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 Costa\Downloads\"/>
    </mc:Choice>
  </mc:AlternateContent>
  <xr:revisionPtr revIDLastSave="0" documentId="13_ncr:1_{74048263-F329-4E72-AE5E-5EBAD96299BB}" xr6:coauthVersionLast="47" xr6:coauthVersionMax="47" xr10:uidLastSave="{00000000-0000-0000-0000-000000000000}"/>
  <bookViews>
    <workbookView xWindow="-120" yWindow="-120" windowWidth="38640" windowHeight="15720" tabRatio="0" xr2:uid="{D63472A4-8300-4934-9C87-0EC792DCF89D}"/>
  </bookViews>
  <sheets>
    <sheet name="Aplicativo" sheetId="1" r:id="rId1"/>
    <sheet name="Chave Apoio" sheetId="2" r:id="rId2"/>
  </sheets>
  <definedNames>
    <definedName name="aporte">Aplicativo!$D$17</definedName>
    <definedName name="patrimonio">Aplicativo!$D$20</definedName>
    <definedName name="qtd_anos">Aplicativo!$D$18</definedName>
    <definedName name="rendimento_carteira">Aplicativo!$D$13</definedName>
    <definedName name="salario">Aplicativo!$D$12</definedName>
    <definedName name="sugestao_investimento">Aplicativo!$D$14</definedName>
    <definedName name="taxa_mensal">Aplicativo!$D$19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<sst xmlns="http://schemas.openxmlformats.org/spreadsheetml/2006/main" count="69" uniqueCount="33">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</sst>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3" fillId="9" borderId="0" applyNumberFormat="0" applyBorder="0" applyAlignment="0" applyProtection="0"/>
  </cellStyleXfs>
  <cellXfs count="59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0" fontId="4" fillId="8" borderId="0" xfId="0" applyFont="1" applyFill="1" applyAlignment="1">
      <alignment horizontal="center" vertical="center"/>
    </xf>
    <xf numFmtId="0" fontId="0" fillId="0" borderId="0" xfId="0" applyFill="1"/>
    <xf numFmtId="0" fontId="13" fillId="0" borderId="0" xfId="3" applyFill="1"/>
    <xf numFmtId="9" fontId="13" fillId="0" borderId="0" xfId="3" applyNumberFormat="1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0" fillId="0" borderId="23" xfId="0" applyBorder="1"/>
    <xf numFmtId="0" fontId="0" fillId="0" borderId="23" xfId="0" applyBorder="1" applyAlignment="1">
      <alignment horizontal="center"/>
    </xf>
    <xf numFmtId="9" fontId="0" fillId="0" borderId="23" xfId="0" applyNumberFormat="1" applyBorder="1" applyAlignment="1">
      <alignment horizontal="center"/>
    </xf>
  </cellXfs>
  <cellStyles count="4">
    <cellStyle name="Bom" xfId="3" builtinId="26"/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D1CC00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Aplicativo!$C$35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5B1-4681-979D-461CA65AC5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B1-4681-979D-461CA65AC5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5B1-4681-979D-461CA65AC5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5B1-4681-979D-461CA65AC5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5B1-4681-979D-461CA65AC50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5B1-4681-979D-461CA65AC506}"/>
              </c:ext>
            </c:extLst>
          </c:dPt>
          <c:dLbls>
            <c:dLbl>
              <c:idx val="2"/>
              <c:layout>
                <c:manualLayout>
                  <c:x val="5.781118039947046E-2"/>
                  <c:y val="-4.440938994997825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B1-4681-979D-461CA65AC506}"/>
                </c:ext>
              </c:extLst>
            </c:dLbl>
            <c:dLbl>
              <c:idx val="3"/>
              <c:layout>
                <c:manualLayout>
                  <c:x val="5.247335773274199E-2"/>
                  <c:y val="1.603561303910830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B1-4681-979D-461CA65AC50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Aplicativo!$B$36:$B$41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Aplicativo!$C$36:$C$41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317046</xdr:colOff>
      <xdr:row>42</xdr:row>
      <xdr:rowOff>66675</xdr:rowOff>
    </xdr:from>
    <xdr:to>
      <xdr:col>4</xdr:col>
      <xdr:colOff>19050</xdr:colOff>
      <xdr:row>56</xdr:row>
      <xdr:rowOff>180975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333376</xdr:colOff>
      <xdr:row>0</xdr:row>
      <xdr:rowOff>44904</xdr:rowOff>
    </xdr:from>
    <xdr:to>
      <xdr:col>3</xdr:col>
      <xdr:colOff>1028700</xdr:colOff>
      <xdr:row>8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555722-CC00-41D7-95DA-53D323C71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44904"/>
          <a:ext cx="5343524" cy="1641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64"/>
  <sheetViews>
    <sheetView showGridLines="0" showRowColHeaders="0" tabSelected="1" zoomScaleNormal="100" workbookViewId="0">
      <selection activeCell="D15" sqref="D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6.140625" bestFit="1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37" t="s">
        <v>14</v>
      </c>
      <c r="C12" s="38"/>
      <c r="D12" s="23">
        <v>2000</v>
      </c>
    </row>
    <row r="13" spans="2:4" ht="17.25" x14ac:dyDescent="0.3">
      <c r="B13" s="39" t="s">
        <v>13</v>
      </c>
      <c r="C13" s="40"/>
      <c r="D13" s="24">
        <v>1.2E-2</v>
      </c>
    </row>
    <row r="14" spans="2:4" ht="18" thickBot="1" x14ac:dyDescent="0.35">
      <c r="B14" s="46" t="s">
        <v>32</v>
      </c>
      <c r="C14" s="47"/>
      <c r="D14" s="25">
        <f>D12*30%</f>
        <v>600</v>
      </c>
    </row>
    <row r="15" spans="2:4" ht="15.75" thickBot="1" x14ac:dyDescent="0.3"/>
    <row r="16" spans="2:4" ht="28.5" customHeight="1" x14ac:dyDescent="0.25">
      <c r="B16" s="43" t="s">
        <v>5</v>
      </c>
      <c r="C16" s="44"/>
      <c r="D16" s="45"/>
    </row>
    <row r="17" spans="1:6" ht="17.25" x14ac:dyDescent="0.3">
      <c r="B17" s="37" t="s">
        <v>0</v>
      </c>
      <c r="C17" s="38"/>
      <c r="D17" s="18">
        <v>550</v>
      </c>
    </row>
    <row r="18" spans="1:6" ht="17.25" x14ac:dyDescent="0.3">
      <c r="B18" s="39" t="s">
        <v>1</v>
      </c>
      <c r="C18" s="40"/>
      <c r="D18" s="19">
        <v>8</v>
      </c>
    </row>
    <row r="19" spans="1:6" ht="17.25" x14ac:dyDescent="0.3">
      <c r="B19" s="39" t="s">
        <v>2</v>
      </c>
      <c r="C19" s="40"/>
      <c r="D19" s="20">
        <v>1.0789999999999999E-2</v>
      </c>
    </row>
    <row r="20" spans="1:6" ht="17.25" x14ac:dyDescent="0.3">
      <c r="B20" s="48" t="s">
        <v>3</v>
      </c>
      <c r="C20" s="49"/>
      <c r="D20" s="21">
        <f>FV(taxa_mensal,qtd_anos*12,aporte*-1)</f>
        <v>91847.579759777218</v>
      </c>
    </row>
    <row r="21" spans="1:6" ht="18" thickBot="1" x14ac:dyDescent="0.35">
      <c r="B21" s="41" t="s">
        <v>4</v>
      </c>
      <c r="C21" s="42"/>
      <c r="D21" s="22">
        <f>patrimonio*rendimento_carteira</f>
        <v>1102.1709571173267</v>
      </c>
      <c r="F21" s="3"/>
    </row>
    <row r="22" spans="1:6" ht="15.75" thickBot="1" x14ac:dyDescent="0.3"/>
    <row r="23" spans="1:6" ht="30.75" x14ac:dyDescent="0.25">
      <c r="B23" s="43" t="s">
        <v>11</v>
      </c>
      <c r="C23" s="44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14975.19501370487</v>
      </c>
      <c r="D24" s="11">
        <f>C24*rendimento_carteira</f>
        <v>179.70234016445843</v>
      </c>
    </row>
    <row r="25" spans="1:6" ht="17.25" x14ac:dyDescent="0.3">
      <c r="A25" s="1">
        <v>5</v>
      </c>
      <c r="B25" s="12" t="s">
        <v>7</v>
      </c>
      <c r="C25" s="13">
        <f>FV($D$19,$A25*12,$D$17*-1)</f>
        <v>46077.302699168205</v>
      </c>
      <c r="D25" s="14">
        <f>C25*rendimento_carteira</f>
        <v>552.92763239001852</v>
      </c>
    </row>
    <row r="26" spans="1:6" ht="17.25" x14ac:dyDescent="0.3">
      <c r="A26" s="1">
        <v>10</v>
      </c>
      <c r="B26" s="12" t="s">
        <v>8</v>
      </c>
      <c r="C26" s="13">
        <f>FV($D$19,$A26*12,$D$17*-1)</f>
        <v>133806.3168915947</v>
      </c>
      <c r="D26" s="14">
        <f>C26*rendimento_carteira</f>
        <v>1605.6758026991365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618859.12005339435</v>
      </c>
      <c r="D27" s="14">
        <f>C27*rendimento_carteira</f>
        <v>7426.3094406407326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2377193.3102525929</v>
      </c>
      <c r="D28" s="17">
        <f>C28*rendimento_carteira</f>
        <v>28526.319723031116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550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VLOOKUP($C$32&amp;"-"&amp;B36,'Chave Apoio'!$A:$D,4,FALSE)</f>
        <v>0.32</v>
      </c>
      <c r="D36" s="33">
        <f>C36*$C$33</f>
        <v>176</v>
      </c>
    </row>
    <row r="37" spans="2:4" x14ac:dyDescent="0.25">
      <c r="B37" s="2" t="s">
        <v>25</v>
      </c>
      <c r="C37" s="4">
        <f>VLOOKUP($C$32&amp;"-"&amp;B37,'Chave Apoio'!$A:$D,4,FALSE)</f>
        <v>0.35</v>
      </c>
      <c r="D37" s="33">
        <f t="shared" ref="D37:D41" si="0">C37*$C$33</f>
        <v>192.5</v>
      </c>
    </row>
    <row r="38" spans="2:4" x14ac:dyDescent="0.25">
      <c r="B38" s="2" t="s">
        <v>26</v>
      </c>
      <c r="C38" s="4">
        <f>VLOOKUP($C$32&amp;"-"&amp;B38,'Chave Apoio'!$A:$D,4,FALSE)</f>
        <v>0.08</v>
      </c>
      <c r="D38" s="33">
        <f t="shared" si="0"/>
        <v>44</v>
      </c>
    </row>
    <row r="39" spans="2:4" x14ac:dyDescent="0.25">
      <c r="B39" s="2" t="s">
        <v>27</v>
      </c>
      <c r="C39" s="4">
        <f>VLOOKUP($C$32&amp;"-"&amp;B39,'Chave Apoio'!$A:$D,4,FALSE)</f>
        <v>0.05</v>
      </c>
      <c r="D39" s="33">
        <f t="shared" si="0"/>
        <v>27.5</v>
      </c>
    </row>
    <row r="40" spans="2:4" x14ac:dyDescent="0.25">
      <c r="B40" s="2" t="s">
        <v>28</v>
      </c>
      <c r="C40" s="4">
        <f>VLOOKUP($C$32&amp;"-"&amp;B40,'Chave Apoio'!$A:$D,4,FALSE)</f>
        <v>0.1</v>
      </c>
      <c r="D40" s="33">
        <f t="shared" si="0"/>
        <v>55</v>
      </c>
    </row>
    <row r="41" spans="2:4" x14ac:dyDescent="0.25">
      <c r="B41" s="2" t="s">
        <v>29</v>
      </c>
      <c r="C41" s="4">
        <f>VLOOKUP($C$32&amp;"-"&amp;B41,'Chave Apoio'!$A:$D,4,FALSE)</f>
        <v>0.1</v>
      </c>
      <c r="D41" s="33">
        <f t="shared" si="0"/>
        <v>55</v>
      </c>
    </row>
    <row r="42" spans="2:4" x14ac:dyDescent="0.25">
      <c r="B42" s="31"/>
      <c r="C42" s="31"/>
      <c r="D42" s="32">
        <f>SUM(D36:D41)</f>
        <v>550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I21"/>
  <sheetViews>
    <sheetView showGridLines="0" zoomScale="115" zoomScaleNormal="115" workbookViewId="0">
      <selection activeCell="C26" sqref="C26"/>
    </sheetView>
  </sheetViews>
  <sheetFormatPr defaultColWidth="0"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4" max="4" width="9.140625" customWidth="1"/>
    <col min="5" max="6" width="9.140625" hidden="1"/>
    <col min="7" max="7" width="15.42578125" hidden="1"/>
    <col min="10" max="16384" width="9.140625" hidden="1"/>
  </cols>
  <sheetData>
    <row r="2" spans="1:9" x14ac:dyDescent="0.25">
      <c r="A2" s="50" t="s">
        <v>31</v>
      </c>
      <c r="B2" s="50" t="s">
        <v>20</v>
      </c>
      <c r="C2" s="50" t="s">
        <v>21</v>
      </c>
      <c r="D2" s="50" t="s">
        <v>30</v>
      </c>
      <c r="F2" s="51"/>
      <c r="G2" s="51"/>
      <c r="H2" s="51"/>
      <c r="I2" s="51"/>
    </row>
    <row r="3" spans="1:9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F3" s="51"/>
      <c r="G3" s="51"/>
      <c r="H3" s="51"/>
      <c r="I3" s="51"/>
    </row>
    <row r="4" spans="1:9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F4" s="51"/>
      <c r="G4" s="52"/>
      <c r="H4" s="53"/>
      <c r="I4" s="51"/>
    </row>
    <row r="5" spans="1:9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  <c r="F5" s="51"/>
      <c r="G5" s="51"/>
      <c r="H5" s="51"/>
      <c r="I5" s="51"/>
    </row>
    <row r="6" spans="1:9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  <c r="F6" s="51"/>
      <c r="G6" s="51"/>
      <c r="H6" s="51"/>
      <c r="I6" s="51"/>
    </row>
    <row r="7" spans="1:9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  <c r="F7" s="51"/>
      <c r="G7" s="51"/>
      <c r="H7" s="51"/>
      <c r="I7" s="51"/>
    </row>
    <row r="8" spans="1:9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  <c r="F8" s="51"/>
      <c r="G8" s="51"/>
      <c r="H8" s="51"/>
      <c r="I8" s="51"/>
    </row>
    <row r="9" spans="1:9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  <c r="F9" s="51"/>
      <c r="G9" s="51"/>
      <c r="H9" s="51"/>
      <c r="I9" s="51"/>
    </row>
    <row r="10" spans="1:9" x14ac:dyDescent="0.25">
      <c r="A10" s="51" t="str">
        <f t="shared" si="0"/>
        <v>Moderado-TIJOLO</v>
      </c>
      <c r="B10" s="51" t="s">
        <v>17</v>
      </c>
      <c r="C10" s="54" t="s">
        <v>25</v>
      </c>
      <c r="D10" s="55">
        <v>0.35</v>
      </c>
      <c r="F10" s="51"/>
      <c r="G10" s="51"/>
      <c r="H10" s="51"/>
      <c r="I10" s="51"/>
    </row>
    <row r="11" spans="1:9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9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9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9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9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9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ht="15.75" thickBot="1" x14ac:dyDescent="0.3">
      <c r="A20" s="56" t="str">
        <f t="shared" si="0"/>
        <v>Agressivo-HOTELARIAS</v>
      </c>
      <c r="B20" s="56" t="s">
        <v>18</v>
      </c>
      <c r="C20" s="57" t="s">
        <v>29</v>
      </c>
      <c r="D20" s="58">
        <v>0.1</v>
      </c>
    </row>
    <row r="21" spans="1:4" ht="15.75" thickTop="1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Aplicativo</vt:lpstr>
      <vt:lpstr>Chave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Rafael Costa</cp:lastModifiedBy>
  <dcterms:created xsi:type="dcterms:W3CDTF">2025-04-16T18:38:03Z</dcterms:created>
  <dcterms:modified xsi:type="dcterms:W3CDTF">2025-12-25T20:34:00Z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